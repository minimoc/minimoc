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-Config" sheetId="1" state="visible" r:id="rId1"/>
    <sheet xmlns:r="http://schemas.openxmlformats.org/officeDocument/2006/relationships" name="Synthese" sheetId="2" state="visible" r:id="rId2"/>
    <sheet xmlns:r="http://schemas.openxmlformats.org/officeDocument/2006/relationships" name="1-Connectique" sheetId="3" state="visible" r:id="rId3"/>
    <sheet xmlns:r="http://schemas.openxmlformats.org/officeDocument/2006/relationships" name="2-Matrice" sheetId="4" state="visible" r:id="rId4"/>
    <sheet xmlns:r="http://schemas.openxmlformats.org/officeDocument/2006/relationships" name="3-Flux" sheetId="5" state="visible" r:id="rId5"/>
    <sheet xmlns:r="http://schemas.openxmlformats.org/officeDocument/2006/relationships" name="4-Sync" sheetId="6" state="visible" r:id="rId6"/>
    <sheet xmlns:r="http://schemas.openxmlformats.org/officeDocument/2006/relationships" name="5-Transport" sheetId="7" state="visible" r:id="rId7"/>
    <sheet xmlns:r="http://schemas.openxmlformats.org/officeDocument/2006/relationships" name="6-Presets" sheetId="8" state="visible" r:id="rId8"/>
    <sheet xmlns:r="http://schemas.openxmlformats.org/officeDocument/2006/relationships" name="7-HostConfig" sheetId="9" state="visible" r:id="rId9"/>
    <sheet xmlns:r="http://schemas.openxmlformats.org/officeDocument/2006/relationships" name="8-Monitor" sheetId="10" state="visible" r:id="rId10"/>
    <sheet xmlns:r="http://schemas.openxmlformats.org/officeDocument/2006/relationships" name="9-System" sheetId="11" state="visible" r:id="rId11"/>
    <sheet xmlns:r="http://schemas.openxmlformats.org/officeDocument/2006/relationships" name="10-SmartMirror" sheetId="12" state="visible" r:id="rId12"/>
    <sheet xmlns:r="http://schemas.openxmlformats.org/officeDocument/2006/relationships" name="11-RecordSD" sheetId="13" state="visible" r:id="rId13"/>
    <sheet xmlns:r="http://schemas.openxmlformats.org/officeDocument/2006/relationships" name="12-Weblink" sheetId="14" state="visible" r:id="rId14"/>
    <sheet xmlns:r="http://schemas.openxmlformats.org/officeDocument/2006/relationships" name="13-Robustesse" sheetId="15" state="visible" r:id="rId15"/>
  </sheets>
  <definedNames>
    <definedName name="_xlnm._FilterDatabase" localSheetId="2" hidden="1">'1-Connectique'!$A$1:$E$6</definedName>
    <definedName name="_xlnm._FilterDatabase" localSheetId="3" hidden="1">'2-Matrice'!$A$1:$E$10</definedName>
    <definedName name="_xlnm._FilterDatabase" localSheetId="4" hidden="1">'3-Flux'!$A$1:$E$8</definedName>
    <definedName name="_xlnm._FilterDatabase" localSheetId="5" hidden="1">'4-Sync'!$A$1:$E$10</definedName>
    <definedName name="_xlnm._FilterDatabase" localSheetId="6" hidden="1">'5-Transport'!$A$1:$E$11</definedName>
    <definedName name="_xlnm._FilterDatabase" localSheetId="7" hidden="1">'6-Presets'!$A$1:$E$8</definedName>
    <definedName name="_xlnm._FilterDatabase" localSheetId="8" hidden="1">'7-HostConfig'!$A$1:$E$10</definedName>
    <definedName name="_xlnm._FilterDatabase" localSheetId="9" hidden="1">'8-Monitor'!$A$1:$E$9</definedName>
    <definedName name="_xlnm._FilterDatabase" localSheetId="10" hidden="1">'9-System'!$A$1:$E$7</definedName>
    <definedName name="_xlnm._FilterDatabase" localSheetId="11" hidden="1">'10-SmartMirror'!$A$1:$E$9</definedName>
    <definedName name="_xlnm._FilterDatabase" localSheetId="12" hidden="1">'11-RecordSD'!$A$1:$E$7</definedName>
    <definedName name="_xlnm._FilterDatabase" localSheetId="13" hidden="1">'12-Weblink'!$A$1:$E$11</definedName>
    <definedName name="_xlnm._FilterDatabase" localSheetId="14" hidden="1">'13-Robustesse'!$A$1:$E$7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</cols>
  <sheetData>
    <row r="1">
      <c r="A1" s="1" t="inlineStr">
        <is>
          <t>miniMoc — Configuration matérielle de test</t>
        </is>
      </c>
    </row>
    <row r="3">
      <c r="A3" s="2" t="inlineStr">
        <is>
          <t>Entrées</t>
        </is>
      </c>
    </row>
    <row r="4">
      <c r="A4" s="3" t="inlineStr">
        <is>
          <t>Port</t>
        </is>
      </c>
      <c r="B4" s="3" t="inlineStr">
        <is>
          <t>Type</t>
        </is>
      </c>
      <c r="C4" s="3" t="inlineStr">
        <is>
          <t>Appareil</t>
        </is>
      </c>
    </row>
    <row r="5">
      <c r="A5" s="4" t="inlineStr">
        <is>
          <t>A</t>
        </is>
      </c>
      <c r="B5" s="4" t="inlineStr">
        <is>
          <t>TRS</t>
        </is>
      </c>
      <c r="C5" s="4" t="inlineStr">
        <is>
          <t>Novation SL MK2</t>
        </is>
      </c>
    </row>
    <row r="6">
      <c r="A6" s="4" t="inlineStr">
        <is>
          <t>B</t>
        </is>
      </c>
      <c r="B6" s="4" t="inlineStr">
        <is>
          <t>TRS</t>
        </is>
      </c>
      <c r="C6" s="4" t="inlineStr">
        <is>
          <t>Electribe 2</t>
        </is>
      </c>
    </row>
    <row r="7">
      <c r="A7" s="4" t="inlineStr">
        <is>
          <t>C</t>
        </is>
      </c>
      <c r="B7" s="4" t="inlineStr">
        <is>
          <t>USB Host</t>
        </is>
      </c>
      <c r="C7" s="4" t="inlineStr">
        <is>
          <t>Arturia MiniLab</t>
        </is>
      </c>
    </row>
    <row r="8">
      <c r="A8" s="4" t="inlineStr">
        <is>
          <t>D</t>
        </is>
      </c>
      <c r="B8" s="4" t="inlineStr">
        <is>
          <t>USB Host</t>
        </is>
      </c>
      <c r="C8" s="4" t="inlineStr">
        <is>
          <t>(libre — tests de branchement à chaud)</t>
        </is>
      </c>
    </row>
    <row r="9">
      <c r="A9" s="4" t="inlineStr">
        <is>
          <t>E</t>
        </is>
      </c>
      <c r="B9" s="4" t="inlineStr">
        <is>
          <t>USB Host</t>
        </is>
      </c>
      <c r="C9" s="4" t="inlineStr">
        <is>
          <t>(libre — tests de branchement à chaud)</t>
        </is>
      </c>
    </row>
    <row r="12">
      <c r="A12" s="2" t="inlineStr">
        <is>
          <t>Sorties</t>
        </is>
      </c>
    </row>
    <row r="13">
      <c r="A13" s="3" t="inlineStr">
        <is>
          <t>Port</t>
        </is>
      </c>
      <c r="B13" s="3" t="inlineStr">
        <is>
          <t>Type</t>
        </is>
      </c>
      <c r="C13" s="3" t="inlineStr">
        <is>
          <t>Appareil</t>
        </is>
      </c>
    </row>
    <row r="14">
      <c r="A14" s="4" t="inlineStr">
        <is>
          <t>1</t>
        </is>
      </c>
      <c r="B14" s="4" t="inlineStr">
        <is>
          <t>TRS</t>
        </is>
      </c>
      <c r="C14" s="4" t="inlineStr">
        <is>
          <t>Dreadbox Typhon</t>
        </is>
      </c>
    </row>
    <row r="15">
      <c r="A15" s="4" t="inlineStr">
        <is>
          <t>2</t>
        </is>
      </c>
      <c r="B15" s="4" t="inlineStr">
        <is>
          <t>TRS</t>
        </is>
      </c>
      <c r="C15" s="4" t="inlineStr">
        <is>
          <t>Minifreak</t>
        </is>
      </c>
    </row>
    <row r="16">
      <c r="A16" s="4" t="inlineStr">
        <is>
          <t>3</t>
        </is>
      </c>
      <c r="B16" s="4" t="inlineStr">
        <is>
          <t>TRS</t>
        </is>
      </c>
      <c r="C16" s="4" t="inlineStr">
        <is>
          <t>Electribe 2</t>
        </is>
      </c>
    </row>
    <row r="17">
      <c r="A17" s="4" t="inlineStr">
        <is>
          <t>4</t>
        </is>
      </c>
      <c r="B17" s="4" t="inlineStr">
        <is>
          <t>TRS</t>
        </is>
      </c>
      <c r="C17" s="4" t="inlineStr">
        <is>
          <t>reface CP</t>
        </is>
      </c>
    </row>
    <row r="18">
      <c r="A18" s="4" t="inlineStr">
        <is>
          <t>5</t>
        </is>
      </c>
      <c r="B18" s="4" t="inlineStr">
        <is>
          <t>TRS</t>
        </is>
      </c>
      <c r="C18" s="4" t="inlineStr">
        <is>
          <t>Keytron SD1000</t>
        </is>
      </c>
    </row>
    <row r="19">
      <c r="A19" s="4" t="inlineStr">
        <is>
          <t>6</t>
        </is>
      </c>
      <c r="B19" s="4" t="inlineStr">
        <is>
          <t>TRS</t>
        </is>
      </c>
      <c r="C19" s="4" t="inlineStr">
        <is>
          <t>Novation SL MK2</t>
        </is>
      </c>
    </row>
    <row r="20">
      <c r="A20" s="4" t="inlineStr">
        <is>
          <t>7</t>
        </is>
      </c>
      <c r="B20" s="4" t="inlineStr">
        <is>
          <t>USB Host</t>
        </is>
      </c>
      <c r="C20" s="4" t="inlineStr">
        <is>
          <t>OP-1</t>
        </is>
      </c>
    </row>
    <row r="21">
      <c r="A21" s="4" t="inlineStr">
        <is>
          <t>8</t>
        </is>
      </c>
      <c r="B21" s="4" t="inlineStr">
        <is>
          <t>USB Host</t>
        </is>
      </c>
      <c r="C21" s="4" t="inlineStr">
        <is>
          <t>(libre)</t>
        </is>
      </c>
    </row>
    <row r="22">
      <c r="A22" s="4" t="inlineStr">
        <is>
          <t>9</t>
        </is>
      </c>
      <c r="B22" s="4" t="inlineStr">
        <is>
          <t>USB Host</t>
        </is>
      </c>
      <c r="C22" s="4" t="inlineStr">
        <is>
          <t>(libre)</t>
        </is>
      </c>
    </row>
    <row r="25">
      <c r="A25" s="2" t="inlineStr">
        <is>
          <t>Poste informatique</t>
        </is>
      </c>
    </row>
    <row r="26">
      <c r="A26" s="3" t="inlineStr">
        <is>
          <t>Rôle</t>
        </is>
      </c>
      <c r="B26" s="3" t="inlineStr">
        <is>
          <t>Machine</t>
        </is>
      </c>
    </row>
    <row r="27">
      <c r="A27" s="4" t="inlineStr">
        <is>
          <t>Smart Mirror / enregistrement DAW</t>
        </is>
      </c>
      <c r="B27" s="4" t="inlineStr">
        <is>
          <t>PC + Ableton Live (branché en USB sur le miniMoc)</t>
        </is>
      </c>
    </row>
    <row r="28">
      <c r="A28" s="4" t="inlineStr">
        <is>
          <t>Éditeur web (weblink)</t>
        </is>
      </c>
      <c r="B28" s="4" t="inlineStr">
        <is>
          <t>PC + navigateur Chrome ou Edge, weblink/index.html (ou URL hébergée)</t>
        </is>
      </c>
    </row>
    <row r="31" ht="90" customHeight="1">
      <c r="A31" s="5" t="inlineStr">
        <is>
          <t>Point d'attention config : l'Electribe 2 est câblée à la fois en entrée B et en sortie 3, et le Novation SL MK2 à la fois en entrée A et en sortie 6. Vérifier lors des tests de bouclage qu'un message n'est pas indéfiniment renvoyé vers sa propre source (voir MATRICE-05, FLUX-06).
Point d'attention USB Host : MiniLab (entrée C) et OP-1 (sortie 7) sont deux appareils USB distincts. En mode AUTO, l'assignation des slots est FIFO — l'ordre de branchement détermine qui devient C/D/E. Testé en section 7 (HOST CONFIG).</t>
        </is>
      </c>
    </row>
  </sheetData>
  <mergeCells count="2">
    <mergeCell ref="A1:C1"/>
    <mergeCell ref="A31:C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miniMoc — Synthèse des tests</t>
        </is>
      </c>
    </row>
    <row r="3">
      <c r="A3" s="3" t="inlineStr">
        <is>
          <t>Thème</t>
        </is>
      </c>
      <c r="B3" s="3" t="inlineStr">
        <is>
          <t>Nb tests</t>
        </is>
      </c>
      <c r="C3" s="3" t="inlineStr">
        <is>
          <t>OK</t>
        </is>
      </c>
      <c r="D3" s="3" t="inlineStr">
        <is>
          <t>KO</t>
        </is>
      </c>
      <c r="E3" s="3" t="inlineStr">
        <is>
          <t>Non testé / vide</t>
        </is>
      </c>
    </row>
    <row r="4">
      <c r="A4" s="6" t="inlineStr">
        <is>
          <t>1-Connectique</t>
        </is>
      </c>
      <c r="B4" s="6" t="n">
        <v>5</v>
      </c>
      <c r="C4" s="6">
        <f>COUNTIF('1-Connectique'!D2:D6,"OK")</f>
        <v/>
      </c>
      <c r="D4" s="6">
        <f>COUNTIF('1-Connectique'!D2:D6,"KO")</f>
        <v/>
      </c>
      <c r="E4" s="6">
        <f>B4-C4-D4</f>
        <v/>
      </c>
    </row>
    <row r="5">
      <c r="A5" s="6" t="inlineStr">
        <is>
          <t>2-Matrice</t>
        </is>
      </c>
      <c r="B5" s="6" t="n">
        <v>9</v>
      </c>
      <c r="C5" s="6">
        <f>COUNTIF('2-Matrice'!D2:D10,"OK")</f>
        <v/>
      </c>
      <c r="D5" s="6">
        <f>COUNTIF('2-Matrice'!D2:D10,"KO")</f>
        <v/>
      </c>
      <c r="E5" s="6">
        <f>B5-C5-D5</f>
        <v/>
      </c>
    </row>
    <row r="6">
      <c r="A6" s="6" t="inlineStr">
        <is>
          <t>3-Flux</t>
        </is>
      </c>
      <c r="B6" s="6" t="n">
        <v>7</v>
      </c>
      <c r="C6" s="6">
        <f>COUNTIF('3-Flux'!D2:D8,"OK")</f>
        <v/>
      </c>
      <c r="D6" s="6">
        <f>COUNTIF('3-Flux'!D2:D8,"KO")</f>
        <v/>
      </c>
      <c r="E6" s="6">
        <f>B6-C6-D6</f>
        <v/>
      </c>
    </row>
    <row r="7">
      <c r="A7" s="6" t="inlineStr">
        <is>
          <t>4-Sync</t>
        </is>
      </c>
      <c r="B7" s="6" t="n">
        <v>9</v>
      </c>
      <c r="C7" s="6">
        <f>COUNTIF('4-Sync'!D2:D10,"OK")</f>
        <v/>
      </c>
      <c r="D7" s="6">
        <f>COUNTIF('4-Sync'!D2:D10,"KO")</f>
        <v/>
      </c>
      <c r="E7" s="6">
        <f>B7-C7-D7</f>
        <v/>
      </c>
    </row>
    <row r="8">
      <c r="A8" s="6" t="inlineStr">
        <is>
          <t>5-Transport</t>
        </is>
      </c>
      <c r="B8" s="6" t="n">
        <v>10</v>
      </c>
      <c r="C8" s="6">
        <f>COUNTIF('5-Transport'!D2:D11,"OK")</f>
        <v/>
      </c>
      <c r="D8" s="6">
        <f>COUNTIF('5-Transport'!D2:D11,"KO")</f>
        <v/>
      </c>
      <c r="E8" s="6">
        <f>B8-C8-D8</f>
        <v/>
      </c>
    </row>
    <row r="9">
      <c r="A9" s="6" t="inlineStr">
        <is>
          <t>6-Presets</t>
        </is>
      </c>
      <c r="B9" s="6" t="n">
        <v>7</v>
      </c>
      <c r="C9" s="6">
        <f>COUNTIF('6-Presets'!D2:D8,"OK")</f>
        <v/>
      </c>
      <c r="D9" s="6">
        <f>COUNTIF('6-Presets'!D2:D8,"KO")</f>
        <v/>
      </c>
      <c r="E9" s="6">
        <f>B9-C9-D9</f>
        <v/>
      </c>
    </row>
    <row r="10">
      <c r="A10" s="6" t="inlineStr">
        <is>
          <t>7-HostConfig</t>
        </is>
      </c>
      <c r="B10" s="6" t="n">
        <v>9</v>
      </c>
      <c r="C10" s="6">
        <f>COUNTIF('7-HostConfig'!D2:D10,"OK")</f>
        <v/>
      </c>
      <c r="D10" s="6">
        <f>COUNTIF('7-HostConfig'!D2:D10,"KO")</f>
        <v/>
      </c>
      <c r="E10" s="6">
        <f>B10-C10-D10</f>
        <v/>
      </c>
    </row>
    <row r="11">
      <c r="A11" s="6" t="inlineStr">
        <is>
          <t>8-Monitor</t>
        </is>
      </c>
      <c r="B11" s="6" t="n">
        <v>8</v>
      </c>
      <c r="C11" s="6">
        <f>COUNTIF('8-Monitor'!D2:D9,"OK")</f>
        <v/>
      </c>
      <c r="D11" s="6">
        <f>COUNTIF('8-Monitor'!D2:D9,"KO")</f>
        <v/>
      </c>
      <c r="E11" s="6">
        <f>B11-C11-D11</f>
        <v/>
      </c>
    </row>
    <row r="12">
      <c r="A12" s="6" t="inlineStr">
        <is>
          <t>9-System</t>
        </is>
      </c>
      <c r="B12" s="6" t="n">
        <v>6</v>
      </c>
      <c r="C12" s="6">
        <f>COUNTIF('9-System'!D2:D7,"OK")</f>
        <v/>
      </c>
      <c r="D12" s="6">
        <f>COUNTIF('9-System'!D2:D7,"KO")</f>
        <v/>
      </c>
      <c r="E12" s="6">
        <f>B12-C12-D12</f>
        <v/>
      </c>
    </row>
    <row r="13">
      <c r="A13" s="6" t="inlineStr">
        <is>
          <t>10-SmartMirror</t>
        </is>
      </c>
      <c r="B13" s="6" t="n">
        <v>8</v>
      </c>
      <c r="C13" s="6">
        <f>COUNTIF('10-SmartMirror'!D2:D9,"OK")</f>
        <v/>
      </c>
      <c r="D13" s="6">
        <f>COUNTIF('10-SmartMirror'!D2:D9,"KO")</f>
        <v/>
      </c>
      <c r="E13" s="6">
        <f>B13-C13-D13</f>
        <v/>
      </c>
    </row>
    <row r="14">
      <c r="A14" s="6" t="inlineStr">
        <is>
          <t>11-RecordSD</t>
        </is>
      </c>
      <c r="B14" s="6" t="n">
        <v>6</v>
      </c>
      <c r="C14" s="6">
        <f>COUNTIF('11-RecordSD'!D2:D7,"OK")</f>
        <v/>
      </c>
      <c r="D14" s="6">
        <f>COUNTIF('11-RecordSD'!D2:D7,"KO")</f>
        <v/>
      </c>
      <c r="E14" s="6">
        <f>B14-C14-D14</f>
        <v/>
      </c>
    </row>
    <row r="15">
      <c r="A15" s="6" t="inlineStr">
        <is>
          <t>12-Weblink</t>
        </is>
      </c>
      <c r="B15" s="6" t="n">
        <v>10</v>
      </c>
      <c r="C15" s="6">
        <f>COUNTIF('12-Weblink'!D2:D11,"OK")</f>
        <v/>
      </c>
      <c r="D15" s="6">
        <f>COUNTIF('12-Weblink'!D2:D11,"KO")</f>
        <v/>
      </c>
      <c r="E15" s="6">
        <f>B15-C15-D15</f>
        <v/>
      </c>
    </row>
    <row r="16">
      <c r="A16" s="6" t="inlineStr">
        <is>
          <t>13-Robustesse</t>
        </is>
      </c>
      <c r="B16" s="6" t="n">
        <v>6</v>
      </c>
      <c r="C16" s="6">
        <f>COUNTIF('13-Robustesse'!D2:D7,"OK")</f>
        <v/>
      </c>
      <c r="D16" s="6">
        <f>COUNTIF('13-Robustesse'!D2:D7,"KO")</f>
        <v/>
      </c>
      <c r="E16" s="6">
        <f>B16-C16-D16</f>
        <v/>
      </c>
    </row>
    <row r="17">
      <c r="A17" s="7" t="inlineStr">
        <is>
          <t>TOTAL</t>
        </is>
      </c>
      <c r="B17" s="7">
        <f>SUM(B4:B16)</f>
        <v/>
      </c>
      <c r="C17" s="7">
        <f>SUM(C4:C16)</f>
        <v/>
      </c>
      <c r="D17" s="7">
        <f>SUM(D4:D16)</f>
        <v/>
      </c>
      <c r="E17" s="7">
        <f>SUM(E4:E16)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CONN-01</t>
        </is>
      </c>
      <c r="B2" s="4" t="inlineStr">
        <is>
          <t>Démarrer le miniMoc sans rien de branché</t>
        </is>
      </c>
      <c r="C2" s="4" t="inlineStr">
        <is>
          <t>Écran logo puis carousel s'affiche normalement, aucun blocage</t>
        </is>
      </c>
      <c r="D2" s="9" t="n"/>
      <c r="E2" s="4" t="n"/>
    </row>
    <row r="3">
      <c r="A3" s="4" t="inlineStr">
        <is>
          <t>CONN-02</t>
        </is>
      </c>
      <c r="B3" s="4" t="inlineStr">
        <is>
          <t>Brancher Novation SL MK2 sur A, Electribe 2 sur B (câbles TRS)</t>
        </is>
      </c>
      <c r="C3" s="4" t="inlineStr">
        <is>
          <t>MONITOR (page VU-mètres) affiche une activité sur A et B dès qu'une note est jouée sur chaque appareil</t>
        </is>
      </c>
      <c r="D3" s="9" t="n"/>
      <c r="E3" s="4" t="n"/>
    </row>
    <row r="4">
      <c r="A4" s="4" t="inlineStr">
        <is>
          <t>CONN-03</t>
        </is>
      </c>
      <c r="B4" s="4" t="inlineStr">
        <is>
          <t>Brancher MiniLab sur un port USB Host du miniMoc</t>
        </is>
      </c>
      <c r="C4" s="4" t="inlineStr">
        <is>
          <t>SYSTEM → INFO liste MiniLab parmi les devices USB (D1..D6) ; MONITOR affiche l'activité sur le port logique C (mode AUTO, 1er device = C)</t>
        </is>
      </c>
      <c r="D4" s="9" t="n"/>
      <c r="E4" s="4" t="n"/>
    </row>
    <row r="5">
      <c r="A5" s="4" t="inlineStr">
        <is>
          <t>CONN-04</t>
        </is>
      </c>
      <c r="B5" s="4" t="inlineStr">
        <is>
          <t>Brancher les 6 sorties TRS (Typhon=1, Minifreak=2, Electribe2=3, reface CP=4, Keytron=5, SL MK2=6) et OP-1 sur une sortie USB Host</t>
        </is>
      </c>
      <c r="C5" s="4" t="inlineStr">
        <is>
          <t>SYSTEM → INFO confirme la présence d'OP-1 ; aucune sortie TRS ne nécessite de config</t>
        </is>
      </c>
      <c r="D5" s="9" t="n"/>
      <c r="E5" s="4" t="n"/>
    </row>
    <row r="6">
      <c r="A6" s="4" t="inlineStr">
        <is>
          <t>CONN-05</t>
        </is>
      </c>
      <c r="B6" s="4" t="inlineStr">
        <is>
          <t>Débrancher puis rebrancher le câble USB PC pendant que le miniMoc fonctionne seul (sans PC)</t>
        </is>
      </c>
      <c r="C6" s="4" t="inlineStr">
        <is>
          <t>Le routage MIDI matériel (TRS/USB Host) continue de fonctionner sans interruption pendant le débranchement</t>
        </is>
      </c>
      <c r="D6" s="9" t="n"/>
      <c r="E6" s="4" t="n"/>
    </row>
  </sheetData>
  <autoFilter ref="A1:E6"/>
  <dataValidations count="1">
    <dataValidation sqref="D2:D6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MATRICE-01</t>
        </is>
      </c>
      <c r="B2" s="4" t="inlineStr">
        <is>
          <t>Charger le preset d'usine VIDE, jouer une note sur Novation SL MK2 (A)</t>
        </is>
      </c>
      <c r="C2" s="4" t="inlineStr">
        <is>
          <t>Aucune sortie ne reçoit la note</t>
        </is>
      </c>
      <c r="D2" s="9" t="n"/>
      <c r="E2" s="4" t="n"/>
    </row>
    <row r="3">
      <c r="A3" s="4" t="inlineStr">
        <is>
          <t>MATRICE-02</t>
        </is>
      </c>
      <c r="B3" s="4" t="inlineStr">
        <is>
          <t>Activer la cellule [A, 1] (MATRICE), jouer une note sur A</t>
        </is>
      </c>
      <c r="C3" s="4" t="inlineStr">
        <is>
          <t>Dreadbox Typhon (sortie 1) reçoit la note, sur tous les canaux (passthrough canal)</t>
        </is>
      </c>
      <c r="D3" s="9" t="n"/>
      <c r="E3" s="4" t="n"/>
    </row>
    <row r="4">
      <c r="A4" s="4" t="inlineStr">
        <is>
          <t>MATRICE-03</t>
        </is>
      </c>
      <c r="B4" s="4" t="inlineStr">
        <is>
          <t>Activer [A,1] et [A,2] simultanément</t>
        </is>
      </c>
      <c r="C4" s="4" t="inlineStr">
        <is>
          <t>Note de Novation SL MK2 arrive à la fois sur Typhon (1) et Minifreak (2)</t>
        </is>
      </c>
      <c r="D4" s="9" t="n"/>
      <c r="E4" s="4" t="n"/>
    </row>
    <row r="5">
      <c r="A5" s="4" t="inlineStr">
        <is>
          <t>MATRICE-04</t>
        </is>
      </c>
      <c r="B5" s="4" t="inlineStr">
        <is>
          <t>Charger le preset DIAGONALE (A→1, B→2, C→3, D→4, E→5)</t>
        </is>
      </c>
      <c r="C5" s="4" t="inlineStr">
        <is>
          <t>Novation SL MK2 (A) → Typhon (1) ; Electribe2 (B) → Minifreak (2) ; MiniLab (C) → Electribe2 (3)</t>
        </is>
      </c>
      <c r="D5" s="9" t="n"/>
      <c r="E5" s="4" t="n"/>
    </row>
    <row r="6">
      <c r="A6" s="4" t="inlineStr">
        <is>
          <t>MATRICE-05</t>
        </is>
      </c>
      <c r="B6" s="4" t="inlineStr">
        <is>
          <t>Activer [B,3] (Electribe2 → Electribe2 en sortie 3)</t>
        </is>
      </c>
      <c r="C6" s="4" t="inlineStr">
        <is>
          <t>La note jouée sur l'Electribe2 (entrée B) ressort sur sa propre entrée MIDI (sortie 3) — vérifier absence de boucle infinie ou de blocage</t>
        </is>
      </c>
      <c r="D6" s="9" t="n"/>
      <c r="E6" s="4" t="n"/>
    </row>
    <row r="7">
      <c r="A7" s="4" t="inlineStr">
        <is>
          <t>MATRICE-06</t>
        </is>
      </c>
      <c r="B7" s="4" t="inlineStr">
        <is>
          <t>Charger le preset MERGE</t>
        </is>
      </c>
      <c r="C7" s="4" t="inlineStr">
        <is>
          <t>Toutes les entrées (A,B,C) arrivent sur toutes les sorties actives ; jouer sur MiniLab (C) doit atteindre les 6 sorties TRS + OP-1 (7)</t>
        </is>
      </c>
      <c r="D7" s="9" t="n"/>
      <c r="E7" s="4" t="n"/>
    </row>
    <row r="8">
      <c r="A8" s="4" t="inlineStr">
        <is>
          <t>MATRICE-07</t>
        </is>
      </c>
      <c r="B8" s="4" t="inlineStr">
        <is>
          <t>Charger USB&gt;TRS</t>
        </is>
      </c>
      <c r="C8" s="4" t="inlineStr">
        <is>
          <t>MiniLab (C, entrée USB) routé vers les sorties TRS 1–6 ; aucune sortie vers OP-1 (7)</t>
        </is>
      </c>
      <c r="D8" s="9" t="n"/>
      <c r="E8" s="4" t="n"/>
    </row>
    <row r="9">
      <c r="A9" s="4" t="inlineStr">
        <is>
          <t>MATRICE-08</t>
        </is>
      </c>
      <c r="B9" s="4" t="inlineStr">
        <is>
          <t>Charger TRS&gt;USB</t>
        </is>
      </c>
      <c r="C9" s="4" t="inlineStr">
        <is>
          <t>Novation SL MK2 (A) et Electribe2 (B) routés vers OP-1 (sortie 7 USB Host) ; aucune sortie TRS</t>
        </is>
      </c>
      <c r="D9" s="9" t="n"/>
      <c r="E9" s="4" t="n"/>
    </row>
    <row r="10">
      <c r="A10" s="4" t="inlineStr">
        <is>
          <t>MATRICE-09</t>
        </is>
      </c>
      <c r="B10" s="4" t="inlineStr">
        <is>
          <t>Désactiver toutes les cellules (retour VIDE) puis vérifier via MONITOR</t>
        </is>
      </c>
      <c r="C10" s="4" t="inlineStr">
        <is>
          <t>Barres d'entrée VU-mètre continuent de s'allumer (réception indépendante du routage) mais aucune sortie ne s'anime</t>
        </is>
      </c>
      <c r="D10" s="9" t="n"/>
      <c r="E10" s="4" t="n"/>
    </row>
  </sheetData>
  <autoFilter ref="A1:E10"/>
  <dataValidations count="1">
    <dataValidation sqref="D2:D10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FLUX-01</t>
        </is>
      </c>
      <c r="B2" s="4" t="inlineStr">
        <is>
          <t>Créer un flux : Entrée B canal 10 uniquement → Sortie 3 canal 1 (remap)</t>
        </is>
      </c>
      <c r="C2" s="4" t="inlineStr">
        <is>
          <t>Jouer canal 10 sur Electribe2 (B) → arrive sur Electribe2 (sortie 3) reconverti en canal 1 ; jouer canal 1 sur B ne passe pas</t>
        </is>
      </c>
      <c r="D2" s="9" t="n"/>
      <c r="E2" s="4" t="n"/>
    </row>
    <row r="3">
      <c r="A3" s="4" t="inlineStr">
        <is>
          <t>FLUX-02</t>
        </is>
      </c>
      <c r="B3" s="4" t="inlineStr">
        <is>
          <t>Créer un flux : Entrée A (ALL canaux) → Sortie 6 (ALL, passthrough)</t>
        </is>
      </c>
      <c r="C3" s="4" t="inlineStr">
        <is>
          <t>Toute note de Novation SL MK2 (A), quel que soit le canal, ressort sur sa propre sortie 6 (SL MK2), canal conservé</t>
        </is>
      </c>
      <c r="D3" s="9" t="n"/>
      <c r="E3" s="4" t="n"/>
    </row>
    <row r="4">
      <c r="A4" s="4" t="inlineStr">
        <is>
          <t>FLUX-03</t>
        </is>
      </c>
      <c r="B4" s="4" t="inlineStr">
        <is>
          <t>Créer un flux multi-entrées : {A, ch1} + {B, ch2} → {sortie 4, ch1}</t>
        </is>
      </c>
      <c r="C4" s="4" t="inlineStr">
        <is>
          <t>ch1 de SL MK2 et ch2 d'Electribe2 arrivent tous deux sur reface CP (sortie 4) en canal 1</t>
        </is>
      </c>
      <c r="D4" s="9" t="n"/>
      <c r="E4" s="4" t="n"/>
    </row>
    <row r="5">
      <c r="A5" s="4" t="inlineStr">
        <is>
          <t>FLUX-04</t>
        </is>
      </c>
      <c r="B5" s="4" t="inlineStr">
        <is>
          <t>Créer 16 flux (maximum)</t>
        </is>
      </c>
      <c r="C5" s="4" t="inlineStr">
        <is>
          <t>Le 17e flux est refusé ou impossible à créer (limite respectée)</t>
        </is>
      </c>
      <c r="D5" s="9" t="n"/>
      <c r="E5" s="4" t="n"/>
    </row>
    <row r="6">
      <c r="A6" s="4" t="inlineStr">
        <is>
          <t>FLUX-05</t>
        </is>
      </c>
      <c r="B6" s="4" t="inlineStr">
        <is>
          <t>Activer un flux ET la cellule MATRICE correspondante en parallèle (ex FLUX-01 + MATRICE [B,3])</t>
        </is>
      </c>
      <c r="C6" s="4" t="inlineStr">
        <is>
          <t>Doublement du signal MIDI observé sur Electribe2 sortie 3 (comportement cumulatif documenté — non un bug)</t>
        </is>
      </c>
      <c r="D6" s="9" t="n"/>
      <c r="E6" s="4" t="n"/>
    </row>
    <row r="7">
      <c r="A7" s="4" t="inlineStr">
        <is>
          <t>FLUX-06</t>
        </is>
      </c>
      <c r="B7" s="4" t="inlineStr">
        <is>
          <t>Modifier un flux existant (bouton Éditer) puis le supprimer (✕)</t>
        </is>
      </c>
      <c r="C7" s="4" t="inlineStr">
        <is>
          <t>Modification appliquée immédiatement ; suppression stoppe le routage correspondant sans affecter les autres flux/matrice</t>
        </is>
      </c>
      <c r="D7" s="9" t="n"/>
      <c r="E7" s="4" t="n"/>
    </row>
    <row r="8">
      <c r="A8" s="4" t="inlineStr">
        <is>
          <t>FLUX-07</t>
        </is>
      </c>
      <c r="B8" s="4" t="inlineStr">
        <is>
          <t>Créer un flux avec sélection multi-canaux via la grille 4×4 (ex. ch1, ch3, ch7 sur MiniLab C)</t>
        </is>
      </c>
      <c r="C8" s="4" t="inlineStr">
        <is>
          <t>Seules les notes sur les canaux cochés passent, les autres canaux de C sont bloqués pour ce flux</t>
        </is>
      </c>
      <c r="D8" s="9" t="n"/>
      <c r="E8" s="4" t="n"/>
    </row>
  </sheetData>
  <autoFilter ref="A1:E8"/>
  <dataValidations count="1">
    <dataValidation sqref="D2:D8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SYNC-01</t>
        </is>
      </c>
      <c r="B2" s="4" t="inlineStr">
        <is>
          <t>Régler SYNC = A (TRS), envoyer Clock depuis Novation SL MK2 sur l'entrée A</t>
        </is>
      </c>
      <c r="C2" s="4" t="inlineStr">
        <is>
          <t>Toutes les sorties actives (TRS 1–6 + OP-1 si branché) reçoivent le Clock ; MONITOR page BPM affiche le tempo mesuré</t>
        </is>
      </c>
      <c r="D2" s="9" t="n"/>
      <c r="E2" s="4" t="n"/>
    </row>
    <row r="3">
      <c r="A3" s="4" t="inlineStr">
        <is>
          <t>SYNC-02</t>
        </is>
      </c>
      <c r="B3" s="4" t="inlineStr">
        <is>
          <t>Régler SYNC = C (USB Host), envoyer Clock depuis MiniLab</t>
        </is>
      </c>
      <c r="C3" s="4" t="inlineStr">
        <is>
          <t>Clock diffusé sur toutes les sorties ; vérifier qu'aucune autre source n'est écoutée en parallèle</t>
        </is>
      </c>
      <c r="D3" s="9" t="n"/>
      <c r="E3" s="4" t="n"/>
    </row>
    <row r="4">
      <c r="A4" s="4" t="inlineStr">
        <is>
          <t>SYNC-03</t>
        </is>
      </c>
      <c r="B4" s="4" t="inlineStr">
        <is>
          <t>Régler SYNC = A (USB/PC), envoyer Clock depuis Ableton via le câble miroir A</t>
        </is>
      </c>
      <c r="C4" s="4" t="inlineStr">
        <is>
          <t>Clock d'Ableton propagé sur les sorties, alors qu'un clock TRS simultané sur l'entrée physique A est ignoré</t>
        </is>
      </c>
      <c r="D4" s="9" t="n"/>
      <c r="E4" s="4" t="n"/>
    </row>
    <row r="5">
      <c r="A5" s="4" t="inlineStr">
        <is>
          <t>SYNC-04</t>
        </is>
      </c>
      <c r="B5" s="4" t="inlineStr">
        <is>
          <t>Envoyer simultanément un Clock TRS sur A et un Clock USB/PC sur le miroir A, avec SYNC=A (TRS)</t>
        </is>
      </c>
      <c r="C5" s="4" t="inlineStr">
        <is>
          <t>Seul le clock TRS physique est suivi, le clock USB/PC est ignoré (pas de tempo instable/mélangé)</t>
        </is>
      </c>
      <c r="D5" s="9" t="n"/>
      <c r="E5" s="4" t="n"/>
    </row>
    <row r="6">
      <c r="A6" s="4" t="inlineStr">
        <is>
          <t>SYNC-05</t>
        </is>
      </c>
      <c r="B6" s="4" t="inlineStr">
        <is>
          <t>Régler SYNC = MINIMOC, définir un BPM via le menu TRANSPORT</t>
        </is>
      </c>
      <c r="C6" s="4" t="inlineStr">
        <is>
          <t>Le miniMoc génère lui-même le Clock en continu, y compris en naviguant dans d'autres menus ou avec le VU-mètre MONITOR actif</t>
        </is>
      </c>
      <c r="D6" s="9" t="n"/>
      <c r="E6" s="4" t="n"/>
    </row>
    <row r="7">
      <c r="A7" s="4" t="inlineStr">
        <is>
          <t>SYNC-06</t>
        </is>
      </c>
      <c r="B7" s="4" t="inlineStr">
        <is>
          <t>SYNC = MINIMOC, envoyer volontairement un Start MIDI externe depuis SL MK2 sur A</t>
        </is>
      </c>
      <c r="C7" s="4" t="inlineStr">
        <is>
          <t>Le Start externe est ignoré (seule la source sélectionnée est maître)</t>
        </is>
      </c>
      <c r="D7" s="9" t="n"/>
      <c r="E7" s="4" t="n"/>
    </row>
    <row r="8">
      <c r="A8" s="4" t="inlineStr">
        <is>
          <t>SYNC-07</t>
        </is>
      </c>
      <c r="B8" s="4" t="inlineStr">
        <is>
          <t>Régler SYNC = OFF</t>
        </is>
      </c>
      <c r="C8" s="4" t="inlineStr">
        <is>
          <t>Aucun Clock/Start/Stop/Continue n'est propagé sur aucune sortie, quel que soit ce qui est branché en entrée</t>
        </is>
      </c>
      <c r="D8" s="9" t="n"/>
      <c r="E8" s="4" t="n"/>
    </row>
    <row r="9">
      <c r="A9" s="4" t="inlineStr">
        <is>
          <t>SYNC-08</t>
        </is>
      </c>
      <c r="B9" s="4" t="inlineStr">
        <is>
          <t>Parcourir la liste des 11 sources + OFF depuis l'écran OLED SYNC</t>
        </is>
      </c>
      <c r="C9" s="4" t="inlineStr">
        <is>
          <t>La source active est marquée d'un *, indépendamment de la position du curseur ; le choix est conservé après redémarrage (persistance EEPROM)</t>
        </is>
      </c>
      <c r="D9" s="9" t="n"/>
      <c r="E9" s="4" t="n"/>
    </row>
    <row r="10">
      <c r="A10" s="4" t="inlineStr">
        <is>
          <t>SYNC-09</t>
        </is>
      </c>
      <c r="B10" s="4" t="inlineStr">
        <is>
          <t>Sélectionner une source SYNC depuis l'onglet SYNC de l'éditeur web</t>
        </is>
      </c>
      <c r="C10" s="4" t="inlineStr">
        <is>
          <t>Réglage appliqué et sauvegardé immédiatement, visible aussi sur l'écran OLED</t>
        </is>
      </c>
      <c r="D10" s="9" t="n"/>
      <c r="E10" s="4" t="n"/>
    </row>
  </sheetData>
  <autoFilter ref="A1:E10"/>
  <dataValidations count="1">
    <dataValidation sqref="D2:D10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TRSP-01</t>
        </is>
      </c>
      <c r="B2" s="4" t="inlineStr">
        <is>
          <t>Entrer dans le menu TRANSPORT, tourner l'encodeur (SYNC=MINIMOC)</t>
        </is>
      </c>
      <c r="C2" s="4" t="inlineStr">
        <is>
          <t>BPM affiché change de ±1 ; ±5 si rotation rapide (&lt; 180 ms entre crans)</t>
        </is>
      </c>
      <c r="D2" s="9" t="n"/>
      <c r="E2" s="4" t="n"/>
    </row>
    <row r="3">
      <c r="A3" s="4" t="inlineStr">
        <is>
          <t>TRSP-02</t>
        </is>
      </c>
      <c r="B3" s="4" t="inlineStr">
        <is>
          <t>Clic encodeur (1er appui)</t>
        </is>
      </c>
      <c r="C3" s="4" t="inlineStr">
        <is>
          <t>Indicateur passe à PLAY, un message Start (FA) est envoyé sur toutes les sorties + miroir PC</t>
        </is>
      </c>
      <c r="D3" s="9" t="n"/>
      <c r="E3" s="4" t="n"/>
    </row>
    <row r="4">
      <c r="A4" s="4" t="inlineStr">
        <is>
          <t>TRSP-03</t>
        </is>
      </c>
      <c r="B4" s="4" t="inlineStr">
        <is>
          <t>Clic simple BACK pendant PLAY</t>
        </is>
      </c>
      <c r="C4" s="4" t="inlineStr">
        <is>
          <t>Retour au menu précédent (pas de Stop)</t>
        </is>
      </c>
      <c r="D4" s="9" t="n"/>
      <c r="E4" s="4" t="n"/>
    </row>
    <row r="5">
      <c r="A5" s="4" t="inlineStr">
        <is>
          <t>TRSP-04</t>
        </is>
      </c>
      <c r="B5" s="4" t="inlineStr">
        <is>
          <t>Revenir dans TRANSPORT, clic encodeur (Pause)</t>
        </is>
      </c>
      <c r="C5" s="4" t="inlineStr">
        <is>
          <t>Indicateur PAUSE, message Stop (FC) envoyé, transport_resumable=true</t>
        </is>
      </c>
      <c r="D5" s="9" t="n"/>
      <c r="E5" s="4" t="n"/>
    </row>
    <row r="6">
      <c r="A6" s="4" t="inlineStr">
        <is>
          <t>TRSP-05</t>
        </is>
      </c>
      <c r="B6" s="4" t="inlineStr">
        <is>
          <t>Clic encodeur à nouveau depuis PAUSE</t>
        </is>
      </c>
      <c r="C6" s="4" t="inlineStr">
        <is>
          <t>Message Continue (FB) envoyé (pas un nouveau Start)</t>
        </is>
      </c>
      <c r="D6" s="9" t="n"/>
      <c r="E6" s="4" t="n"/>
    </row>
    <row r="7">
      <c r="A7" s="4" t="inlineStr">
        <is>
          <t>TRSP-06</t>
        </is>
      </c>
      <c r="B7" s="4" t="inlineStr">
        <is>
          <t>Depuis PAUSE, clic simple BACK</t>
        </is>
      </c>
      <c r="C7" s="4" t="inlineStr">
        <is>
          <t>STOP réel (le prochain Play enverra Start, pas Continue)</t>
        </is>
      </c>
      <c r="D7" s="9" t="n"/>
      <c r="E7" s="4" t="n"/>
    </row>
    <row r="8">
      <c r="A8" s="4" t="inlineStr">
        <is>
          <t>TRSP-07</t>
        </is>
      </c>
      <c r="B8" s="4" t="inlineStr">
        <is>
          <t>Maintenir BACK + clic encodeur</t>
        </is>
      </c>
      <c r="C8" s="4" t="inlineStr">
        <is>
          <t>Message MMC Record Strobe envoyé (SysEx F0 7F 7F 06 06 F7)</t>
        </is>
      </c>
      <c r="D8" s="9" t="n"/>
      <c r="E8" s="4" t="n"/>
    </row>
    <row r="9">
      <c r="A9" s="4" t="inlineStr">
        <is>
          <t>TRSP-08</t>
        </is>
      </c>
      <c r="B9" s="4" t="inlineStr">
        <is>
          <t>Maintenir BACK + tourner à droite / à gauche</t>
        </is>
      </c>
      <c r="C9" s="4" t="inlineStr">
        <is>
          <t>MMC Fast Forward / Rewind envoyés respectivement</t>
        </is>
      </c>
      <c r="D9" s="9" t="n"/>
      <c r="E9" s="4" t="n"/>
    </row>
    <row r="10">
      <c r="A10" s="4" t="inlineStr">
        <is>
          <t>TRSP-09</t>
        </is>
      </c>
      <c r="B10" s="4" t="inlineStr">
        <is>
          <t>Rester sur l'écran TRANSPORT et vérifier le long-appui BACK global (retour logo)</t>
        </is>
      </c>
      <c r="C10" s="4" t="inlineStr">
        <is>
          <t>Le geste global BACK→logo (1s) est désactivé sur cet écran, pour ne pas interrompre les gestes chordés</t>
        </is>
      </c>
      <c r="D10" s="9" t="n"/>
      <c r="E10" s="4" t="n"/>
    </row>
    <row r="11">
      <c r="A11" s="4" t="inlineStr">
        <is>
          <t>TRSP-10</t>
        </is>
      </c>
      <c r="B11" s="4" t="inlineStr">
        <is>
          <t>Piloter Play/Pause/Stop/Record/FF/RW depuis l'onglet SYNC de l'éditeur web</t>
        </is>
      </c>
      <c r="C11" s="4" t="inlineStr">
        <is>
          <t>Mêmes effets que les gestes physiques, cohérence affichée entre OLED et éditeur web</t>
        </is>
      </c>
      <c r="D11" s="9" t="n"/>
      <c r="E11" s="4" t="n"/>
    </row>
  </sheetData>
  <autoFilter ref="A1:E11"/>
  <dataValidations count="1">
    <dataValidation sqref="D2:D11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PRST-01</t>
        </is>
      </c>
      <c r="B2" s="4" t="inlineStr">
        <is>
          <t>Configurer un routage (MATRICE + FLUX + SYNC), Sauver sur preset 5</t>
        </is>
      </c>
      <c r="C2" s="4" t="inlineStr">
        <is>
          <t>Fichier /PRESETS/PRST05.DAT créé/mis à jour sur la carte SD</t>
        </is>
      </c>
      <c r="D2" s="9" t="n"/>
      <c r="E2" s="4" t="n"/>
    </row>
    <row r="3">
      <c r="A3" s="4" t="inlineStr">
        <is>
          <t>PRST-02</t>
        </is>
      </c>
      <c r="B3" s="4" t="inlineStr">
        <is>
          <t>Charger un autre preset puis recharger le preset 5</t>
        </is>
      </c>
      <c r="C3" s="4" t="inlineStr">
        <is>
          <t>Routage, flux et réglage SYNC restaurés à l'identique</t>
        </is>
      </c>
      <c r="D3" s="9" t="n"/>
      <c r="E3" s="4" t="n"/>
    </row>
    <row r="4">
      <c r="A4" s="4" t="inlineStr">
        <is>
          <t>PRST-03</t>
        </is>
      </c>
      <c r="B4" s="4" t="inlineStr">
        <is>
          <t>Redémarrer le miniMoc (coupure d'alimentation)</t>
        </is>
      </c>
      <c r="C4" s="4" t="inlineStr">
        <is>
          <t>Le dernier preset actif (EEPROM) est rechargé automatiquement au boot</t>
        </is>
      </c>
      <c r="D4" s="9" t="n"/>
      <c r="E4" s="4" t="n"/>
    </row>
    <row r="5">
      <c r="A5" s="4" t="inlineStr">
        <is>
          <t>PRST-04</t>
        </is>
      </c>
      <c r="B5" s="4" t="inlineStr">
        <is>
          <t>Charger chacun des 8 presets d'usine (VIDE, DIAGONALE, MERGE, DISPATCH, TOTAL, SPLIT, USB&gt;TRS, TRS&gt;USB)</t>
        </is>
      </c>
      <c r="C5" s="4" t="inlineStr">
        <is>
          <t>Chaque preset produit le comportement décrit dans le guide utilisateur</t>
        </is>
      </c>
      <c r="D5" s="9" t="n"/>
      <c r="E5" s="4" t="n"/>
    </row>
    <row r="6">
      <c r="A6" s="4" t="inlineStr">
        <is>
          <t>PRST-05</t>
        </is>
      </c>
      <c r="B6" s="4" t="inlineStr">
        <is>
          <t>Charger un preset legacy v1 (si disponible)</t>
        </is>
      </c>
      <c r="C6" s="4" t="inlineStr">
        <is>
          <t>Migration automatique vers v3 sans perte (route_matrix legacy → basic_matrix déduite)</t>
        </is>
      </c>
      <c r="D6" s="9" t="n"/>
      <c r="E6" s="4" t="n"/>
    </row>
    <row r="7">
      <c r="A7" s="4" t="inlineStr">
        <is>
          <t>PRST-06</t>
        </is>
      </c>
      <c r="B7" s="4" t="inlineStr">
        <is>
          <t>Sauver/charger un preset via l'éditeur web</t>
        </is>
      </c>
      <c r="C7" s="4" t="inlineStr">
        <is>
          <t>Comportement identique à l'écran OLED, astérisque * affiché en cas de modif non sauvée</t>
        </is>
      </c>
      <c r="D7" s="9" t="n"/>
      <c r="E7" s="4" t="n"/>
    </row>
    <row r="8">
      <c r="A8" s="4" t="inlineStr">
        <is>
          <t>PRST-07</t>
        </is>
      </c>
      <c r="B8" s="4" t="inlineStr">
        <is>
          <t>Tester la limite haute (preset 32)</t>
        </is>
      </c>
      <c r="C8" s="4" t="inlineStr">
        <is>
          <t>Sauvegarde/chargement fonctionne sans erreur</t>
        </is>
      </c>
      <c r="D8" s="9" t="n"/>
      <c r="E8" s="4" t="n"/>
    </row>
  </sheetData>
  <autoFilter ref="A1:E8"/>
  <dataValidations count="1">
    <dataValidation sqref="D2:D8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HOST-01</t>
        </is>
      </c>
      <c r="B2" s="4" t="inlineStr">
        <is>
          <t>Mode AUTO, brancher MiniLab en premier puis OP-1 en second</t>
        </is>
      </c>
      <c r="C2" s="4" t="inlineStr">
        <is>
          <t>MiniLab → port logique C (+7 en miroir de slot), OP-1 second device → assigné au slot suivant (D+8)</t>
        </is>
      </c>
      <c r="D2" s="9" t="n"/>
      <c r="E2" s="4" t="n"/>
    </row>
    <row r="3">
      <c r="A3" s="4" t="inlineStr">
        <is>
          <t>HOST-02</t>
        </is>
      </c>
      <c r="B3" s="4" t="inlineStr">
        <is>
          <t>Mode AUTO, débrancher/rebrancher les deux appareils dans l'ordre inverse</t>
        </is>
      </c>
      <c r="C3" s="4" t="inlineStr">
        <is>
          <t>L'assignation change en fonction du nouvel ordre de branchement (comportement FIFO documenté)</t>
        </is>
      </c>
      <c r="D3" s="9" t="n"/>
      <c r="E3" s="4" t="n"/>
    </row>
    <row r="4">
      <c r="A4" s="4" t="inlineStr">
        <is>
          <t>HOST-03</t>
        </is>
      </c>
      <c r="B4" s="4" t="inlineStr">
        <is>
          <t>Passer en mode MANUEL depuis SYSTEM → HOST CONFIG</t>
        </is>
      </c>
      <c r="C4" s="4" t="inlineStr">
        <is>
          <t>Listes déroulantes activées, assigner explicitement le slot de MiniLab → C et le slot d'OP-1 → 7</t>
        </is>
      </c>
      <c r="D4" s="9" t="n"/>
      <c r="E4" s="4" t="n"/>
    </row>
    <row r="5">
      <c r="A5" s="4" t="inlineStr">
        <is>
          <t>HOST-04</t>
        </is>
      </c>
      <c r="B5" s="4" t="inlineStr">
        <is>
          <t>Avec le mapping manuel de HOST-03, débrancher/rebrancher MiniLab et OP-1 en même temps, en désordre</t>
        </is>
      </c>
      <c r="C5" s="4" t="inlineStr">
        <is>
          <t>Chaque appareil retrouve son port logique via VID:PID, indépendamment de l'ordre physique de branchement</t>
        </is>
      </c>
      <c r="D5" s="9" t="n"/>
      <c r="E5" s="4" t="n"/>
    </row>
    <row r="6">
      <c r="A6" s="4" t="inlineStr">
        <is>
          <t>HOST-05</t>
        </is>
      </c>
      <c r="B6" s="4" t="inlineStr">
        <is>
          <t>Éteindre/rallumer le miniMoc avec le mapping MANUEL déjà configuré</t>
        </is>
      </c>
      <c r="C6" s="4" t="inlineStr">
        <is>
          <t>Mapping conservé après redémarrage (persistance EEPROM adresse 2)</t>
        </is>
      </c>
      <c r="D6" s="9" t="n"/>
      <c r="E6" s="4" t="n"/>
    </row>
    <row r="7">
      <c r="A7" s="4" t="inlineStr">
        <is>
          <t>HOST-06</t>
        </is>
      </c>
      <c r="B7" s="4" t="inlineStr">
        <is>
          <t>Configurer HOST CONFIG depuis l'éditeur web (onglet HOST CONFIG)</t>
        </is>
      </c>
      <c r="C7" s="4" t="inlineStr">
        <is>
          <t>Résultat identique à la configuration via écran OLED</t>
        </is>
      </c>
      <c r="D7" s="9" t="n"/>
      <c r="E7" s="4" t="n"/>
    </row>
    <row r="8">
      <c r="A8" s="4" t="inlineStr">
        <is>
          <t>HOST-07</t>
        </is>
      </c>
      <c r="B8" s="4" t="inlineStr">
        <is>
          <t>Brancher un 3e appareil USB Host sur le port D ou E libre (branchement à chaud)</t>
        </is>
      </c>
      <c r="C8" s="4" t="inlineStr">
        <is>
          <t>Le nouvel appareil est détecté sans reboot ; SYSTEM → INFO le liste</t>
        </is>
      </c>
      <c r="D8" s="9" t="n"/>
      <c r="E8" s="4" t="n"/>
    </row>
    <row r="9">
      <c r="A9" s="4" t="inlineStr">
        <is>
          <t>HOST-08</t>
        </is>
      </c>
      <c r="B9" s="4" t="inlineStr">
        <is>
          <t>Provoquer un problème de reconnaissance (débrancher pendant l'activité) puis lancer USB LINK</t>
        </is>
      </c>
      <c r="C9" s="4" t="inlineStr">
        <is>
          <t>Re-détection des appareils en ~2,5 s sans reboot complet</t>
        </is>
      </c>
      <c r="D9" s="9" t="n"/>
      <c r="E9" s="4" t="n"/>
    </row>
    <row r="10">
      <c r="A10" s="4" t="inlineStr">
        <is>
          <t>HOST-09</t>
        </is>
      </c>
      <c r="B10" s="4" t="inlineStr">
        <is>
          <t>Lancer USB RESET</t>
        </is>
      </c>
      <c r="C10" s="4" t="inlineStr">
        <is>
          <t>Redémarrage complet du Teensy, tous les appareils USB Host se ré-énumèrent proprement</t>
        </is>
      </c>
      <c r="D10" s="9" t="n"/>
      <c r="E10" s="4" t="n"/>
    </row>
  </sheetData>
  <autoFilter ref="A1:E10"/>
  <dataValidations count="1">
    <dataValidation sqref="D2:D10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MON-01</t>
        </is>
      </c>
      <c r="B2" s="4" t="inlineStr">
        <is>
          <t>Entrer dans MONITOR (page VU-mètres), jouer sur chacune des 3 entrées (A, B, C)</t>
        </is>
      </c>
      <c r="C2" s="4" t="inlineStr">
        <is>
          <t>Chaque barre d'entrée s'allume à réception, avec fondu ~500 ms, indépendamment du routage actif</t>
        </is>
      </c>
      <c r="D2" s="9" t="n"/>
      <c r="E2" s="4" t="n"/>
    </row>
    <row r="3">
      <c r="A3" s="4" t="inlineStr">
        <is>
          <t>MON-02</t>
        </is>
      </c>
      <c r="B3" s="4" t="inlineStr">
        <is>
          <t>Router A→1 (MATRICE) et jouer sur A</t>
        </is>
      </c>
      <c r="C3" s="4" t="inlineStr">
        <is>
          <t>Barre d'entrée A ET barre de sortie 1 (Typhon) s'animent</t>
        </is>
      </c>
      <c r="D3" s="9" t="n"/>
      <c r="E3" s="4" t="n"/>
    </row>
    <row r="4">
      <c r="A4" s="4" t="inlineStr">
        <is>
          <t>MON-03</t>
        </is>
      </c>
      <c r="B4" s="4" t="inlineStr">
        <is>
          <t>Tourner l'encodeur vers la droite pour passer à la page BPM, SYNC = A (TRS) actif avec Clock envoyé</t>
        </is>
      </c>
      <c r="C4" s="4" t="inlineStr">
        <is>
          <t>Tempo du maître affiché en grand, arrondi à l'entier le plus proche ; source maître rappelée en haut</t>
        </is>
      </c>
      <c r="D4" s="9" t="n"/>
      <c r="E4" s="4" t="n"/>
    </row>
    <row r="5">
      <c r="A5" s="4" t="inlineStr">
        <is>
          <t>MON-04</t>
        </is>
      </c>
      <c r="B5" s="4" t="inlineStr">
        <is>
          <t>Couper la source Clock plus de 2 secondes</t>
        </is>
      </c>
      <c r="C5" s="4" t="inlineStr">
        <is>
          <t>Écran affiche NO CLOCK</t>
        </is>
      </c>
      <c r="D5" s="9" t="n"/>
      <c r="E5" s="4" t="n"/>
    </row>
    <row r="6">
      <c r="A6" s="4" t="inlineStr">
        <is>
          <t>MON-05</t>
        </is>
      </c>
      <c r="B6" s="4" t="inlineStr">
        <is>
          <t>Régler SYSTEM → BPM REFRESH sur 5000 ms, changer le tempo pendant l'affichage de la page BPM</t>
        </is>
      </c>
      <c r="C6" s="4" t="inlineStr">
        <is>
          <t>L'affichage ne se met à jour qu'après ~5 s, sauf clic encodeur qui force une actualisation immédiate</t>
        </is>
      </c>
      <c r="D6" s="9" t="n"/>
      <c r="E6" s="4" t="n"/>
    </row>
    <row r="7">
      <c r="A7" s="4" t="inlineStr">
        <is>
          <t>MON-06</t>
        </is>
      </c>
      <c r="B7" s="4" t="inlineStr">
        <is>
          <t>Régler BPM REFRESH sur MANUEL</t>
        </is>
      </c>
      <c r="C7" s="4" t="inlineStr">
        <is>
          <t>Affichage jamais rafraîchi automatiquement ; seul le clic encodeur actualise</t>
        </is>
      </c>
      <c r="D7" s="9" t="n"/>
      <c r="E7" s="4" t="n"/>
    </row>
    <row r="8">
      <c r="A8" s="4" t="inlineStr">
        <is>
          <t>MON-07</t>
        </is>
      </c>
      <c r="B8" s="4" t="inlineStr">
        <is>
          <t>Vérifier le clignotement de la LED embarquée pendant la lecture SYNC=MINIMOC</t>
        </is>
      </c>
      <c r="C8" s="4" t="inlineStr">
        <is>
          <t>LED clignote à chaque temps (toutes les 24 ticks), indépendamment de l'écran affiché</t>
        </is>
      </c>
      <c r="D8" s="9" t="n"/>
      <c r="E8" s="4" t="n"/>
    </row>
    <row r="9">
      <c r="A9" s="4" t="inlineStr">
        <is>
          <t>MON-08</t>
        </is>
      </c>
      <c r="B9" s="4" t="inlineStr">
        <is>
          <t>Retourner à l'écran d'accueil après consultation MONITOR</t>
        </is>
      </c>
      <c r="C9" s="4" t="inlineStr">
        <is>
          <t>Limiter le temps sur MONITOR en usage à forte densité MIDI pour éviter le jitter dû au refresh I²C (~20 ms)</t>
        </is>
      </c>
      <c r="D9" s="9" t="n"/>
      <c r="E9" s="4" t="n"/>
    </row>
  </sheetData>
  <autoFilter ref="A1:E9"/>
  <dataValidations count="1">
    <dataValidation sqref="D2:D9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SYS-01</t>
        </is>
      </c>
      <c r="B2" s="4" t="inlineStr">
        <is>
          <t>SYSTEM → INFO</t>
        </is>
      </c>
      <c r="C2" s="4" t="inlineStr">
        <is>
          <t>Stats carte SD affichées + liste des devices USB physiques branchés (MiniLab, OP-1)</t>
        </is>
      </c>
      <c r="D2" s="9" t="n"/>
      <c r="E2" s="4" t="n"/>
    </row>
    <row r="3">
      <c r="A3" s="4" t="inlineStr">
        <is>
          <t>SYS-02</t>
        </is>
      </c>
      <c r="B3" s="4" t="inlineStr">
        <is>
          <t>SYSTEM → CONTRASTE, faire varier de 16 à 255</t>
        </is>
      </c>
      <c r="C3" s="4" t="inlineStr">
        <is>
          <t>Luminosité OLED change visiblement sur toute la plage</t>
        </is>
      </c>
      <c r="D3" s="9" t="n"/>
      <c r="E3" s="4" t="n"/>
    </row>
    <row r="4">
      <c r="A4" s="4" t="inlineStr">
        <is>
          <t>SYS-03</t>
        </is>
      </c>
      <c r="B4" s="4" t="inlineStr">
        <is>
          <t>SYSTEM → USB LINK</t>
        </is>
      </c>
      <c r="C4" s="4" t="inlineStr">
        <is>
          <t>Polling 2,5 s, appareils USB non reconnus forcés à se ré-énumérer, sans reboot</t>
        </is>
      </c>
      <c r="D4" s="9" t="n"/>
      <c r="E4" s="4" t="n"/>
    </row>
    <row r="5">
      <c r="A5" s="4" t="inlineStr">
        <is>
          <t>SYS-04</t>
        </is>
      </c>
      <c r="B5" s="4" t="inlineStr">
        <is>
          <t>SYSTEM → USB RESET</t>
        </is>
      </c>
      <c r="C5" s="4" t="inlineStr">
        <is>
          <t>Reboot complet du Teensy (équivalent power-cycle), retour au logo puis restauration preset/config</t>
        </is>
      </c>
      <c r="D5" s="9" t="n"/>
      <c r="E5" s="4" t="n"/>
    </row>
    <row r="6">
      <c r="A6" s="4" t="inlineStr">
        <is>
          <t>SYS-05</t>
        </is>
      </c>
      <c r="B6" s="4" t="inlineStr">
        <is>
          <t>SYSTEM → BPM REFRESH, parcourir toutes les options (250/500/1000/2000/5000/MANUEL)</t>
        </is>
      </c>
      <c r="C6" s="4" t="inlineStr">
        <is>
          <t>Chaque valeur est sélectionnable et persistée en EEPROM (adresse 36)</t>
        </is>
      </c>
      <c r="D6" s="9" t="n"/>
      <c r="E6" s="4" t="n"/>
    </row>
    <row r="7">
      <c r="A7" s="4" t="inlineStr">
        <is>
          <t>SYS-06</t>
        </is>
      </c>
      <c r="B7" s="4" t="inlineStr">
        <is>
          <t>Retirer la carte SD puis consulter SYSTEM → INFO</t>
        </is>
      </c>
      <c r="C7" s="4" t="inlineStr">
        <is>
          <t>Message d'absence de carte cohérent, pas de blocage du firmware</t>
        </is>
      </c>
      <c r="D7" s="9" t="n"/>
      <c r="E7" s="4" t="n"/>
    </row>
  </sheetData>
  <autoFilter ref="A1:E7"/>
  <dataValidations count="1">
    <dataValidation sqref="D2:D7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MIRROR-01</t>
        </is>
      </c>
      <c r="B2" s="4" t="inlineStr">
        <is>
          <t>Brancher le miniMoc en USB sur le PC, ouvrir Ableton Live</t>
        </is>
      </c>
      <c r="C2" s="4" t="inlineStr">
        <is>
          <t>Le miniMoc apparaît comme périphérique MIDI multi-port (15 câbles virtuels), sans installation de driver</t>
        </is>
      </c>
      <c r="D2" s="9" t="n"/>
      <c r="E2" s="4" t="n"/>
    </row>
    <row r="3">
      <c r="A3" s="4" t="inlineStr">
        <is>
          <t>MIRROR-02</t>
        </is>
      </c>
      <c r="B3" s="4" t="inlineStr">
        <is>
          <t>Dans Ableton, armer une piste sur le câble correspondant à l'entrée A, jouer sur Novation SL MK2</t>
        </is>
      </c>
      <c r="C3" s="4" t="inlineStr">
        <is>
          <t>La note est reçue en temps réel dans Ableton (câble 1 = entrée physique A)</t>
        </is>
      </c>
      <c r="D3" s="9" t="n"/>
      <c r="E3" s="4" t="n"/>
    </row>
    <row r="4">
      <c r="A4" s="4" t="inlineStr">
        <is>
          <t>MIRROR-03</t>
        </is>
      </c>
      <c r="B4" s="4" t="inlineStr">
        <is>
          <t>Router A→1 (MATRICE), armer dans Ableton le câble correspondant à la sortie 1</t>
        </is>
      </c>
      <c r="C4" s="4" t="inlineStr">
        <is>
          <t>Ableton reçoit également le miroir de ce qui sort vers Dreadbox Typhon (câbles 6-11 = sorties 1–6)</t>
        </is>
      </c>
      <c r="D4" s="9" t="n"/>
      <c r="E4" s="4" t="n"/>
    </row>
    <row r="5">
      <c r="A5" s="4" t="inlineStr">
        <is>
          <t>MIRROR-04</t>
        </is>
      </c>
      <c r="B5" s="4" t="inlineStr">
        <is>
          <t>Jouer sur MiniLab (entrée C, USB Host) avec Ableton armé sur le câble 3 (entrées USB Host C/D/E)</t>
        </is>
      </c>
      <c r="C5" s="4" t="inlineStr">
        <is>
          <t>Réception confirmée dans Ableton indépendamment du routage</t>
        </is>
      </c>
      <c r="D5" s="9" t="n"/>
      <c r="E5" s="4" t="n"/>
    </row>
    <row r="6">
      <c r="A6" s="4" t="inlineStr">
        <is>
          <t>MIRROR-05</t>
        </is>
      </c>
      <c r="B6" s="4" t="inlineStr">
        <is>
          <t>Envoyer du MIDI depuis Ableton sur le câble miroir de sortie 7 (OP-1)</t>
        </is>
      </c>
      <c r="C6" s="4" t="inlineStr">
        <is>
          <t>Le message ressort physiquement sur OP-1 comme si envoyé directement par le miniMoc</t>
        </is>
      </c>
      <c r="D6" s="9" t="n"/>
      <c r="E6" s="4" t="n"/>
    </row>
    <row r="7">
      <c r="A7" s="4" t="inlineStr">
        <is>
          <t>MIRROR-06</t>
        </is>
      </c>
      <c r="B7" s="4" t="inlineStr">
        <is>
          <t>Débrancher le PC en cours d'utilisation</t>
        </is>
      </c>
      <c r="C7" s="4" t="inlineStr">
        <is>
          <t>Le miniMoc continue de fonctionner en autonome (Smart Mirror non requis pour le fonctionnement standalone)</t>
        </is>
      </c>
      <c r="D7" s="9" t="n"/>
      <c r="E7" s="4" t="n"/>
    </row>
    <row r="8">
      <c r="A8" s="4" t="inlineStr">
        <is>
          <t>MIRROR-07</t>
        </is>
      </c>
      <c r="B8" s="4" t="inlineStr">
        <is>
          <t>Rebrancher le PC</t>
        </is>
      </c>
      <c r="C8" s="4" t="inlineStr">
        <is>
          <t>Les mêmes ports réapparaissent dans Ableton avec les mêmes numéros de câble</t>
        </is>
      </c>
      <c r="D8" s="9" t="n"/>
      <c r="E8" s="4" t="n"/>
    </row>
    <row r="9">
      <c r="A9" s="4" t="inlineStr">
        <is>
          <t>MIRROR-08</t>
        </is>
      </c>
      <c r="B9" s="4" t="inlineStr">
        <is>
          <t>Test croisé SYNC-03/04 avec Ableton comme source de Clock via le câble miroir A</t>
        </is>
      </c>
      <c r="C9" s="4" t="inlineStr">
        <is>
          <t>Confirme le comportement TRS vs USB/PC documenté en section SYNC</t>
        </is>
      </c>
      <c r="D9" s="9" t="n"/>
      <c r="E9" s="4" t="n"/>
    </row>
  </sheetData>
  <autoFilter ref="A1:E9"/>
  <dataValidations count="1">
    <dataValidation sqref="D2:D9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REC-01</t>
        </is>
      </c>
      <c r="B2" s="4" t="inlineStr">
        <is>
          <t>Jouer sur plusieurs entrées avec un routage actif pendant quelques minutes</t>
        </is>
      </c>
      <c r="C2" s="4" t="inlineStr">
        <is>
          <t>Fichier(s) /REC/RECnnn.DAT créé(s)/mis à jour sur la carte SD</t>
        </is>
      </c>
      <c r="D2" s="9" t="n"/>
      <c r="E2" s="4" t="n"/>
    </row>
    <row r="3">
      <c r="A3" s="4" t="inlineStr">
        <is>
          <t>REC-02</t>
        </is>
      </c>
      <c r="B3" s="4" t="inlineStr">
        <is>
          <t>Remplir jusqu'à REC099 puis continuer à jouer</t>
        </is>
      </c>
      <c r="C3" s="4" t="inlineStr">
        <is>
          <t>REC001 est écrasé (ring buffer confirmé)</t>
        </is>
      </c>
      <c r="D3" s="9" t="n"/>
      <c r="E3" s="4" t="n"/>
    </row>
    <row r="4">
      <c r="A4" s="4" t="inlineStr">
        <is>
          <t>REC-03</t>
        </is>
      </c>
      <c r="B4" s="4" t="inlineStr">
        <is>
          <t>Brancher le miniMoc en USB sous Windows, vérifier qu'il apparaît en disque amovible</t>
        </is>
      </c>
      <c r="C4" s="4" t="inlineStr">
        <is>
          <t>Fichiers /REC/*.DAT accessibles en copie</t>
        </is>
      </c>
      <c r="D4" s="9" t="n"/>
      <c r="E4" s="4" t="n"/>
    </row>
    <row r="5">
      <c r="A5" s="4" t="inlineStr">
        <is>
          <t>REC-04</t>
        </is>
      </c>
      <c r="B5" s="4" t="inlineStr">
        <is>
          <t>Charger un .dat dans l'éditeur web, onglet DAT → MIDI</t>
        </is>
      </c>
      <c r="C5" s="4" t="inlineStr">
        <is>
          <t>Événements affichés dans un tableau (horodatage, source, destination, type, canal)</t>
        </is>
      </c>
      <c r="D5" s="9" t="n"/>
      <c r="E5" s="4" t="n"/>
    </row>
    <row r="6">
      <c r="A6" s="4" t="inlineStr">
        <is>
          <t>REC-05</t>
        </is>
      </c>
      <c r="B6" s="4" t="inlineStr">
        <is>
          <t>Configurer l'export : diviser par sortie physique, BPM 120, PPQ 960, cocher les pistes</t>
        </is>
      </c>
      <c r="C6" s="4" t="inlineStr">
        <is>
          <t>Fichier .mid téléchargé, lisible dans un lecteur MIDI standard, tempo et résolution respectés</t>
        </is>
      </c>
      <c r="D6" s="9" t="n"/>
      <c r="E6" s="4" t="n"/>
    </row>
    <row r="7">
      <c r="A7" s="4" t="inlineStr">
        <is>
          <t>REC-06</t>
        </is>
      </c>
      <c r="B7" s="4" t="inlineStr">
        <is>
          <t>Répéter REC-05 en divisant par source d'entrée plutôt que sortie</t>
        </is>
      </c>
      <c r="C7" s="4" t="inlineStr">
        <is>
          <t>Pistes réparties différemment dans le fichier exporté, conformément au choix</t>
        </is>
      </c>
      <c r="D7" s="9" t="n"/>
      <c r="E7" s="4" t="n"/>
    </row>
  </sheetData>
  <autoFilter ref="A1:E7"/>
  <dataValidations count="1">
    <dataValidation sqref="D2:D7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WEB-01</t>
        </is>
      </c>
      <c r="B2" s="4" t="inlineStr">
        <is>
          <t>Ouvrir weblink/index.html dans Chrome/Edge, brancher le miniMoc en USB</t>
        </is>
      </c>
      <c r="C2" s="4" t="inlineStr">
        <is>
          <t>Menu déroulant « Port MIDI » liste le miniMoc</t>
        </is>
      </c>
      <c r="D2" s="9" t="n"/>
      <c r="E2" s="4" t="n"/>
    </row>
    <row r="3">
      <c r="A3" s="4" t="inlineStr">
        <is>
          <t>WEB-02</t>
        </is>
      </c>
      <c r="B3" s="4" t="inlineStr">
        <is>
          <t>Sélectionner le port miniMoc</t>
        </is>
      </c>
      <c r="C3" s="4" t="inlineStr">
        <is>
          <t>Point de statut passe au vert (Connecté), badge de version firmware affiché à côté du logo</t>
        </is>
      </c>
      <c r="D3" s="9" t="n"/>
      <c r="E3" s="4" t="n"/>
    </row>
    <row r="4">
      <c r="A4" s="4" t="inlineStr">
        <is>
          <t>WEB-03</t>
        </is>
      </c>
      <c r="B4" s="4" t="inlineStr">
        <is>
          <t>Ouvrir avec un navigateur non-Chromium (Firefox)</t>
        </is>
      </c>
      <c r="C4" s="4" t="inlineStr">
        <is>
          <t>Connexion impossible (Web MIDI API non supportée) — comportement attendu, à documenter</t>
        </is>
      </c>
      <c r="D4" s="9" t="n"/>
      <c r="E4" s="4" t="n"/>
    </row>
    <row r="5">
      <c r="A5" s="4" t="inlineStr">
        <is>
          <t>WEB-04</t>
        </is>
      </c>
      <c r="B5" s="4" t="inlineStr">
        <is>
          <t>Tester chaque onglet (SYNC, MATRICE, FLUX, HOST CONFIG, FIRMWARE, DAT→MIDI) avec la config matérielle en place</t>
        </is>
      </c>
      <c r="C5" s="4" t="inlineStr">
        <is>
          <t>Chaque onglet reflète et modifie l'état réel du miniMoc en temps réel</t>
        </is>
      </c>
      <c r="D5" s="9" t="n"/>
      <c r="E5" s="4" t="n"/>
    </row>
    <row r="6">
      <c r="A6" s="4" t="inlineStr">
        <is>
          <t>WEB-05</t>
        </is>
      </c>
      <c r="B6" s="4" t="inlineStr">
        <is>
          <t>Modifier une cellule MATRICE depuis le navigateur, vérifier sur l'écran OLED</t>
        </is>
      </c>
      <c r="C6" s="4" t="inlineStr">
        <is>
          <t>Changement appliqué immédiatement et visible sur les deux interfaces</t>
        </is>
      </c>
      <c r="D6" s="9" t="n"/>
      <c r="E6" s="4" t="n"/>
    </row>
    <row r="7">
      <c r="A7" s="4" t="inlineStr">
        <is>
          <t>WEB-06</t>
        </is>
      </c>
      <c r="B7" s="4" t="inlineStr">
        <is>
          <t>Onglet FIRMWARE → sélectionner une version depuis « Firmwares du serveur »</t>
        </is>
      </c>
      <c r="C7" s="4" t="inlineStr">
        <is>
          <t>Fichier .hex téléchargé automatiquement depuis le serveur</t>
        </is>
      </c>
      <c r="D7" s="9" t="n"/>
      <c r="E7" s="4" t="n"/>
    </row>
    <row r="8">
      <c r="A8" s="4" t="inlineStr">
        <is>
          <t>WEB-07</t>
        </is>
      </c>
      <c r="B8" s="4" t="inlineStr">
        <is>
          <t>Lancer la mise à jour firmware (⬆), choisir le port série dans le sélecteur navigateur</t>
        </is>
      </c>
      <c r="C8" s="4" t="inlineStr">
        <is>
          <t>Barre de progression, confirmation, redémarrage automatique du miniMoc avec le nouveau firmware actif</t>
        </is>
      </c>
      <c r="D8" s="9" t="n"/>
      <c r="E8" s="4" t="n"/>
    </row>
    <row r="9">
      <c r="A9" s="4" t="inlineStr">
        <is>
          <t>WEB-08</t>
        </is>
      </c>
      <c r="B9" s="4" t="inlineStr">
        <is>
          <t>Vérifier le comportement si le firmware connecté est plus ancien que l'éditeur web</t>
        </is>
      </c>
      <c r="C9" s="4" t="inlineStr">
        <is>
          <t>Bandeau d'avertissement affiché avec lien vers une version compatible du configurateur</t>
        </is>
      </c>
      <c r="D9" s="9" t="n"/>
      <c r="E9" s="4" t="n"/>
    </row>
    <row r="10">
      <c r="A10" s="4" t="inlineStr">
        <is>
          <t>WEB-09</t>
        </is>
      </c>
      <c r="B10" s="4" t="inlineStr">
        <is>
          <t>Onglet FIRMWARE → « Fichier local », glisser un .hex compilé manuellement (Arduino IDE)</t>
        </is>
      </c>
      <c r="C10" s="4" t="inlineStr">
        <is>
          <t>Même flux de mise à jour que WEB-06/07, avec le fichier local</t>
        </is>
      </c>
      <c r="D10" s="9" t="n"/>
      <c r="E10" s="4" t="n"/>
    </row>
    <row r="11">
      <c r="A11" s="4" t="inlineStr">
        <is>
          <t>WEB-10</t>
        </is>
      </c>
      <c r="B11" s="4" t="inlineStr">
        <is>
          <t>Brancher/débrancher le miniMoc pendant que l'éditeur web est ouvert</t>
        </is>
      </c>
      <c r="C11" s="4" t="inlineStr">
        <is>
          <t>Le menu déroulant Port MIDI reflète la (dé)connexion sans crash de la page</t>
        </is>
      </c>
      <c r="D11" s="9" t="n"/>
      <c r="E11" s="4" t="n"/>
    </row>
  </sheetData>
  <autoFilter ref="A1:E11"/>
  <dataValidations count="1">
    <dataValidation sqref="D2:D11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30" customWidth="1" min="5" max="5"/>
  </cols>
  <sheetData>
    <row r="1">
      <c r="A1" s="8" t="inlineStr">
        <is>
          <t>ID</t>
        </is>
      </c>
      <c r="B1" s="8" t="inlineStr">
        <is>
          <t>Procédure</t>
        </is>
      </c>
      <c r="C1" s="8" t="inlineStr">
        <is>
          <t>Résultat attendu</t>
        </is>
      </c>
      <c r="D1" s="8" t="inlineStr">
        <is>
          <t>Résultat</t>
        </is>
      </c>
      <c r="E1" s="8" t="inlineStr">
        <is>
          <t>Commentaire</t>
        </is>
      </c>
    </row>
    <row r="2">
      <c r="A2" s="4" t="inlineStr">
        <is>
          <t>ROB-01</t>
        </is>
      </c>
      <c r="B2" s="4" t="inlineStr">
        <is>
          <t>Couper l'alimentation brutalement pendant une écriture SD (sauvegarde preset ou enregistrement)</t>
        </is>
      </c>
      <c r="C2" s="4" t="inlineStr">
        <is>
          <t>Redémarrage propre, pas de corruption bloquante de la carte SD (au pire perte du dernier événement)</t>
        </is>
      </c>
      <c r="D2" s="9" t="n"/>
      <c r="E2" s="4" t="n"/>
    </row>
    <row r="3">
      <c r="A3" s="4" t="inlineStr">
        <is>
          <t>ROB-02</t>
        </is>
      </c>
      <c r="B3" s="4" t="inlineStr">
        <is>
          <t>Enchaîner rapidement de nombreux changements MATRICE/FLUX/SYNC via l'éditeur web</t>
        </is>
      </c>
      <c r="C3" s="4" t="inlineStr">
        <is>
          <t>Pas de blocage ni désynchronisation entre firmware et éditeur web</t>
        </is>
      </c>
      <c r="D3" s="9" t="n"/>
      <c r="E3" s="4" t="n"/>
    </row>
    <row r="4">
      <c r="A4" s="4" t="inlineStr">
        <is>
          <t>ROB-03</t>
        </is>
      </c>
      <c r="B4" s="4" t="inlineStr">
        <is>
          <t>Saturer une sortie TRS avec un flux dense (ex. pitch bend continu sur SL MK2) pendant que SYNC=MINIMOC</t>
        </is>
      </c>
      <c r="C4" s="4" t="inlineStr">
        <is>
          <t>Le Clock interne (IntervalTimer/ISR) reste stable, pas de dérive tempo malgré la charge UART</t>
        </is>
      </c>
      <c r="D4" s="9" t="n"/>
      <c r="E4" s="4" t="n"/>
    </row>
    <row r="5">
      <c r="A5" s="4" t="inlineStr">
        <is>
          <t>ROB-04</t>
        </is>
      </c>
      <c r="B5" s="4" t="inlineStr">
        <is>
          <t>Saturer une sortie USB Host (OP-1) de la même façon</t>
        </is>
      </c>
      <c r="C5" s="4" t="inlineStr">
        <is>
          <t>internal_clock_flush_usb() absorbe le flag en best-effort ; pas de blocage prolongé du Clock USB Host</t>
        </is>
      </c>
      <c r="D5" s="9" t="n"/>
      <c r="E5" s="4" t="n"/>
    </row>
    <row r="6">
      <c r="A6" s="4" t="inlineStr">
        <is>
          <t>ROB-05</t>
        </is>
      </c>
      <c r="B6" s="4" t="inlineStr">
        <is>
          <t>Naviguer dans tous les menus OLED pendant qu'un Clock externe rapide (200+ BPM) est actif sur une entrée TRS</t>
        </is>
      </c>
      <c r="C6" s="4" t="inlineStr">
        <is>
          <t>Pas de perte de synchro DIN (l'ISR UART préempte l'affichage OLED bloquant ~8ms)</t>
        </is>
      </c>
      <c r="D6" s="9" t="n"/>
      <c r="E6" s="4" t="n"/>
    </row>
    <row r="7">
      <c r="A7" s="4" t="inlineStr">
        <is>
          <t>ROB-06</t>
        </is>
      </c>
      <c r="B7" s="4" t="inlineStr">
        <is>
          <t>Débrancher un appareil USB Host en pleine transmission MIDI (ex. MiniLab pendant une note tenue)</t>
        </is>
      </c>
      <c r="C7" s="4" t="inlineStr">
        <is>
          <t>Pas de note bloquée en stuck note sur les sorties routées ; récupération propre après USB LINK/RESET</t>
        </is>
      </c>
      <c r="D7" s="9" t="n"/>
      <c r="E7" s="4" t="n"/>
    </row>
  </sheetData>
  <autoFilter ref="A1:E7"/>
  <dataValidations count="1">
    <dataValidation sqref="D2:D7" showDropDown="0" showInputMessage="0" showErrorMessage="0" allowBlank="1" type="list">
      <formula1>"OK,KO,Non testé"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2026-07-11T17:12:42Z</dcterms:created>
  <dcterms:modified xmlns:dcterms="http://purl.org/dc/terms/" xmlns:xsi="http://www.w3.org/2001/XMLSchema-instance" xsi:type="dcterms:W3CDTF">2026-07-11T17:12:42Z</dcterms:modified>
</cp:coreProperties>
</file>